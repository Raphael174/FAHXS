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bry\Desktop\Combustor-HX\doc\"/>
    </mc:Choice>
  </mc:AlternateContent>
  <xr:revisionPtr revIDLastSave="0" documentId="13_ncr:1_{A9A2F75E-D4A4-4621-8D09-5B5F934E3179}" xr6:coauthVersionLast="47" xr6:coauthVersionMax="47" xr10:uidLastSave="{00000000-0000-0000-0000-000000000000}"/>
  <bookViews>
    <workbookView xWindow="-120" yWindow="-120" windowWidth="29040" windowHeight="15720" xr2:uid="{DE8C5F92-C251-45DD-A996-D9C7969BDD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20" i="1" s="1"/>
  <c r="E24" i="1" s="1"/>
  <c r="D4" i="1"/>
  <c r="D20" i="1" s="1"/>
  <c r="D24" i="1" s="1"/>
  <c r="C6" i="1"/>
  <c r="B23" i="1"/>
  <c r="C23" i="1"/>
  <c r="D23" i="1"/>
  <c r="E23" i="1"/>
  <c r="D25" i="1"/>
  <c r="C24" i="1"/>
  <c r="B22" i="1"/>
  <c r="C22" i="1"/>
  <c r="D22" i="1"/>
  <c r="E22" i="1"/>
  <c r="B21" i="1"/>
  <c r="D21" i="1"/>
  <c r="B20" i="1"/>
  <c r="B24" i="1" s="1"/>
  <c r="C20" i="1"/>
  <c r="B6" i="1"/>
  <c r="E6" i="1"/>
  <c r="B18" i="1"/>
  <c r="C18" i="1"/>
  <c r="D18" i="1"/>
  <c r="E18" i="1"/>
  <c r="B12" i="1"/>
  <c r="C12" i="1"/>
  <c r="D12" i="1"/>
  <c r="E12" i="1"/>
  <c r="B9" i="1"/>
  <c r="C9" i="1"/>
  <c r="C21" i="1" s="1"/>
  <c r="C25" i="1" s="1"/>
  <c r="C26" i="1" s="1"/>
  <c r="D9" i="1"/>
  <c r="E9" i="1"/>
  <c r="E21" i="1" s="1"/>
  <c r="E25" i="1" s="1"/>
  <c r="D6" i="1" l="1"/>
  <c r="D26" i="1"/>
  <c r="B25" i="1"/>
  <c r="B26" i="1"/>
  <c r="E26" i="1"/>
</calcChain>
</file>

<file path=xl/sharedStrings.xml><?xml version="1.0" encoding="utf-8"?>
<sst xmlns="http://schemas.openxmlformats.org/spreadsheetml/2006/main" count="30" uniqueCount="30">
  <si>
    <t>Solution 2</t>
  </si>
  <si>
    <t>Brûleur</t>
  </si>
  <si>
    <t>Echangeur</t>
  </si>
  <si>
    <t>Coque</t>
  </si>
  <si>
    <t>Total brûleur + HX</t>
  </si>
  <si>
    <t>Carburant</t>
  </si>
  <si>
    <t>Comburant</t>
  </si>
  <si>
    <t>Total ergols</t>
  </si>
  <si>
    <t>Réservoir carburant</t>
  </si>
  <si>
    <t>Réservoir comburant</t>
  </si>
  <si>
    <t>Total réservoirs</t>
  </si>
  <si>
    <t>Tuyauterie F + O</t>
  </si>
  <si>
    <t>Vannes F + O</t>
  </si>
  <si>
    <t>Détendeur pressu F</t>
  </si>
  <si>
    <t>Réservoir gaz pressu F</t>
  </si>
  <si>
    <t>Tuyauterie gaz pressu</t>
  </si>
  <si>
    <t>Evacuation gaz comb</t>
  </si>
  <si>
    <t>Total sec</t>
  </si>
  <si>
    <t>Total mouillé</t>
  </si>
  <si>
    <t>Gaz pressurant kero</t>
  </si>
  <si>
    <t>Total sec individuel</t>
  </si>
  <si>
    <t>Total mouillé individuel</t>
  </si>
  <si>
    <t>Total sec commun</t>
  </si>
  <si>
    <t>Total mouillé commun</t>
  </si>
  <si>
    <t xml:space="preserve">Total </t>
  </si>
  <si>
    <t>Solution 1a</t>
  </si>
  <si>
    <t>Solution 1b</t>
  </si>
  <si>
    <t>Solution 1c</t>
  </si>
  <si>
    <t>Total matériel pressurisation</t>
  </si>
  <si>
    <t>Masses des composants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</si>
</sst>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1"/>
      <color rgb="FF000000"/>
      <name val="Roboto"/>
    </font>
    <font>
      <b/>
      <sz val="11"/>
      <color rgb="FF000000"/>
      <name val="Roboto"/>
    </font>
    <font>
      <b/>
      <sz val="11"/>
      <color rgb="FFFFFFFF"/>
      <name val="Roboto"/>
    </font>
    <font>
      <b/>
      <sz val="11"/>
      <color theme="0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000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vertical="center" wrapText="1"/>
    </xf>
    <xf numFmtId="2" fontId="3" fillId="3" borderId="4" xfId="0" applyNumberFormat="1" applyFont="1" applyFill="1" applyBorder="1" applyAlignment="1">
      <alignment vertical="center" wrapText="1"/>
    </xf>
    <xf numFmtId="2" fontId="1" fillId="3" borderId="4" xfId="0" applyNumberFormat="1" applyFont="1" applyFill="1" applyBorder="1" applyAlignment="1">
      <alignment vertical="center" wrapText="1"/>
    </xf>
    <xf numFmtId="2" fontId="2" fillId="6" borderId="4" xfId="0" applyNumberFormat="1" applyFont="1" applyFill="1" applyBorder="1" applyAlignment="1">
      <alignment vertical="center" wrapText="1"/>
    </xf>
    <xf numFmtId="2" fontId="3" fillId="4" borderId="4" xfId="0" applyNumberFormat="1" applyFont="1" applyFill="1" applyBorder="1" applyAlignment="1">
      <alignment vertical="center" wrapText="1"/>
    </xf>
    <xf numFmtId="2" fontId="4" fillId="4" borderId="4" xfId="0" applyNumberFormat="1" applyFont="1" applyFill="1" applyBorder="1" applyAlignment="1">
      <alignment vertical="center" wrapText="1"/>
    </xf>
    <xf numFmtId="2" fontId="4" fillId="3" borderId="4" xfId="0" applyNumberFormat="1" applyFont="1" applyFill="1" applyBorder="1" applyAlignment="1">
      <alignment vertical="center" wrapText="1"/>
    </xf>
    <xf numFmtId="2" fontId="4" fillId="2" borderId="4" xfId="0" applyNumberFormat="1" applyFont="1" applyFill="1" applyBorder="1" applyAlignment="1">
      <alignment vertical="center" wrapText="1"/>
    </xf>
    <xf numFmtId="2" fontId="5" fillId="8" borderId="4" xfId="0" applyNumberFormat="1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left" vertical="center" wrapText="1"/>
    </xf>
    <xf numFmtId="2" fontId="3" fillId="5" borderId="6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left" vertical="center" wrapText="1"/>
    </xf>
    <xf numFmtId="2" fontId="3" fillId="3" borderId="8" xfId="0" applyNumberFormat="1" applyFont="1" applyFill="1" applyBorder="1" applyAlignment="1">
      <alignment vertical="center" wrapText="1"/>
    </xf>
    <xf numFmtId="2" fontId="3" fillId="3" borderId="9" xfId="0" applyNumberFormat="1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left" vertical="center" wrapText="1"/>
    </xf>
    <xf numFmtId="2" fontId="3" fillId="4" borderId="11" xfId="0" applyNumberFormat="1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left" vertical="center" wrapText="1"/>
    </xf>
    <xf numFmtId="2" fontId="3" fillId="2" borderId="11" xfId="0" applyNumberFormat="1" applyFont="1" applyFill="1" applyBorder="1" applyAlignment="1">
      <alignment vertical="center" wrapText="1"/>
    </xf>
    <xf numFmtId="0" fontId="4" fillId="5" borderId="10" xfId="0" applyFont="1" applyFill="1" applyBorder="1" applyAlignment="1">
      <alignment horizontal="left" vertical="center" wrapText="1"/>
    </xf>
    <xf numFmtId="2" fontId="3" fillId="5" borderId="11" xfId="0" applyNumberFormat="1" applyFont="1" applyFill="1" applyBorder="1" applyAlignment="1">
      <alignment vertical="center" wrapText="1"/>
    </xf>
    <xf numFmtId="2" fontId="6" fillId="6" borderId="4" xfId="0" applyNumberFormat="1" applyFont="1" applyFill="1" applyBorder="1" applyAlignment="1">
      <alignment vertical="center" wrapText="1"/>
    </xf>
    <xf numFmtId="2" fontId="6" fillId="6" borderId="11" xfId="0" applyNumberFormat="1" applyFont="1" applyFill="1" applyBorder="1" applyAlignment="1">
      <alignment vertical="center" wrapText="1"/>
    </xf>
    <xf numFmtId="2" fontId="6" fillId="7" borderId="13" xfId="0" applyNumberFormat="1" applyFont="1" applyFill="1" applyBorder="1" applyAlignment="1">
      <alignment vertical="center" wrapText="1"/>
    </xf>
    <xf numFmtId="2" fontId="6" fillId="7" borderId="14" xfId="0" applyNumberFormat="1" applyFont="1" applyFill="1" applyBorder="1" applyAlignment="1">
      <alignment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6ADF-2A81-4589-A9F4-EA7AF5DBF218}">
  <dimension ref="A1:E26"/>
  <sheetViews>
    <sheetView tabSelected="1" topLeftCell="A6" zoomScale="130" zoomScaleNormal="130" workbookViewId="0">
      <selection activeCell="I17" sqref="I17"/>
    </sheetView>
  </sheetViews>
  <sheetFormatPr baseColWidth="10" defaultRowHeight="15" x14ac:dyDescent="0.25"/>
  <cols>
    <col min="1" max="1" width="28.7109375" customWidth="1"/>
    <col min="2" max="2" width="12.140625" customWidth="1"/>
    <col min="3" max="3" width="11.5703125" customWidth="1"/>
  </cols>
  <sheetData>
    <row r="1" spans="1:5" ht="30.75" thickBot="1" x14ac:dyDescent="0.3">
      <c r="A1" s="7" t="s">
        <v>29</v>
      </c>
      <c r="B1" s="8" t="s">
        <v>25</v>
      </c>
      <c r="C1" s="8" t="s">
        <v>26</v>
      </c>
      <c r="D1" s="8" t="s">
        <v>27</v>
      </c>
      <c r="E1" s="8" t="s">
        <v>0</v>
      </c>
    </row>
    <row r="2" spans="1:5" ht="15.75" thickBot="1" x14ac:dyDescent="0.3">
      <c r="A2" s="1" t="s">
        <v>1</v>
      </c>
      <c r="B2" s="10">
        <v>1.038</v>
      </c>
      <c r="C2" s="10">
        <v>1.038</v>
      </c>
      <c r="D2" s="10">
        <v>1.038</v>
      </c>
      <c r="E2" s="10">
        <v>1.038</v>
      </c>
    </row>
    <row r="3" spans="1:5" ht="15.75" thickBot="1" x14ac:dyDescent="0.3">
      <c r="A3" s="1" t="s">
        <v>16</v>
      </c>
      <c r="B3" s="10">
        <v>5</v>
      </c>
      <c r="C3" s="10">
        <v>5</v>
      </c>
      <c r="D3" s="10">
        <v>5</v>
      </c>
      <c r="E3" s="10">
        <v>5</v>
      </c>
    </row>
    <row r="4" spans="1:5" ht="15.75" thickBot="1" x14ac:dyDescent="0.3">
      <c r="A4" s="2" t="s">
        <v>2</v>
      </c>
      <c r="B4" s="11">
        <v>14.93</v>
      </c>
      <c r="C4" s="11">
        <v>51.8</v>
      </c>
      <c r="D4" s="11">
        <f>18.76</f>
        <v>18.760000000000002</v>
      </c>
      <c r="E4" s="11">
        <f>7.18</f>
        <v>7.18</v>
      </c>
    </row>
    <row r="5" spans="1:5" ht="15.75" thickBot="1" x14ac:dyDescent="0.3">
      <c r="A5" s="2" t="s">
        <v>3</v>
      </c>
      <c r="B5" s="11"/>
      <c r="C5" s="11"/>
      <c r="D5" s="12"/>
      <c r="E5" s="11">
        <f>1.72</f>
        <v>1.72</v>
      </c>
    </row>
    <row r="6" spans="1:5" ht="15.75" thickBot="1" x14ac:dyDescent="0.3">
      <c r="A6" s="9" t="s">
        <v>4</v>
      </c>
      <c r="B6" s="13">
        <f t="shared" ref="B6:D6" si="0">SUM(B2:B5)</f>
        <v>20.968</v>
      </c>
      <c r="C6" s="13">
        <f>55.58</f>
        <v>55.58</v>
      </c>
      <c r="D6" s="13">
        <f t="shared" si="0"/>
        <v>24.798000000000002</v>
      </c>
      <c r="E6" s="13">
        <f>SUM(E2:E5)</f>
        <v>14.938000000000001</v>
      </c>
    </row>
    <row r="7" spans="1:5" ht="15.75" thickBot="1" x14ac:dyDescent="0.3">
      <c r="A7" s="3" t="s">
        <v>5</v>
      </c>
      <c r="B7" s="14">
        <v>6.49</v>
      </c>
      <c r="C7" s="14">
        <v>13.79</v>
      </c>
      <c r="D7" s="14">
        <v>7.79</v>
      </c>
      <c r="E7" s="14">
        <v>5.19</v>
      </c>
    </row>
    <row r="8" spans="1:5" ht="15.75" thickBot="1" x14ac:dyDescent="0.3">
      <c r="A8" s="3" t="s">
        <v>6</v>
      </c>
      <c r="B8" s="14">
        <v>18.510000000000002</v>
      </c>
      <c r="C8" s="14">
        <v>6.21</v>
      </c>
      <c r="D8" s="14">
        <v>22.21</v>
      </c>
      <c r="E8" s="14">
        <v>14.81</v>
      </c>
    </row>
    <row r="9" spans="1:5" ht="15.75" thickBot="1" x14ac:dyDescent="0.3">
      <c r="A9" s="5" t="s">
        <v>7</v>
      </c>
      <c r="B9" s="15">
        <f t="shared" ref="B9:D9" si="1">B7+B8</f>
        <v>25</v>
      </c>
      <c r="C9" s="15">
        <f t="shared" si="1"/>
        <v>20</v>
      </c>
      <c r="D9" s="15">
        <f t="shared" si="1"/>
        <v>30</v>
      </c>
      <c r="E9" s="15">
        <f>E7+E8</f>
        <v>20</v>
      </c>
    </row>
    <row r="10" spans="1:5" ht="15.75" thickBot="1" x14ac:dyDescent="0.3">
      <c r="A10" s="2" t="s">
        <v>8</v>
      </c>
      <c r="B10" s="11">
        <v>2.2000000000000002</v>
      </c>
      <c r="C10" s="11">
        <v>4.2</v>
      </c>
      <c r="D10" s="11">
        <v>2.2000000000000002</v>
      </c>
      <c r="E10" s="11">
        <v>2.2000000000000002</v>
      </c>
    </row>
    <row r="11" spans="1:5" ht="15.75" thickBot="1" x14ac:dyDescent="0.3">
      <c r="A11" s="2" t="s">
        <v>9</v>
      </c>
      <c r="B11" s="11"/>
      <c r="C11" s="11"/>
      <c r="D11" s="11"/>
      <c r="E11" s="11"/>
    </row>
    <row r="12" spans="1:5" ht="15.75" thickBot="1" x14ac:dyDescent="0.3">
      <c r="A12" s="4" t="s">
        <v>10</v>
      </c>
      <c r="B12" s="16">
        <f t="shared" ref="B12:D12" si="2">B10+B11</f>
        <v>2.2000000000000002</v>
      </c>
      <c r="C12" s="16">
        <f t="shared" si="2"/>
        <v>4.2</v>
      </c>
      <c r="D12" s="16">
        <f t="shared" si="2"/>
        <v>2.2000000000000002</v>
      </c>
      <c r="E12" s="16">
        <f>E10+E11</f>
        <v>2.2000000000000002</v>
      </c>
    </row>
    <row r="13" spans="1:5" ht="15.75" thickBot="1" x14ac:dyDescent="0.3">
      <c r="A13" s="1" t="s">
        <v>11</v>
      </c>
      <c r="B13" s="10">
        <v>2.2000000000000002</v>
      </c>
      <c r="C13" s="10">
        <v>2.2000000000000002</v>
      </c>
      <c r="D13" s="10">
        <v>2.2000000000000002</v>
      </c>
      <c r="E13" s="10">
        <v>2.2000000000000002</v>
      </c>
    </row>
    <row r="14" spans="1:5" ht="15.75" thickBot="1" x14ac:dyDescent="0.3">
      <c r="A14" s="1" t="s">
        <v>12</v>
      </c>
      <c r="B14" s="10">
        <v>1.2</v>
      </c>
      <c r="C14" s="10">
        <v>1.2</v>
      </c>
      <c r="D14" s="10">
        <v>1.2</v>
      </c>
      <c r="E14" s="10">
        <v>1.2</v>
      </c>
    </row>
    <row r="15" spans="1:5" ht="15.75" thickBot="1" x14ac:dyDescent="0.3">
      <c r="A15" s="1" t="s">
        <v>13</v>
      </c>
      <c r="B15" s="10">
        <v>1.9</v>
      </c>
      <c r="C15" s="10">
        <v>1.9</v>
      </c>
      <c r="D15" s="10">
        <v>1.9</v>
      </c>
      <c r="E15" s="10">
        <v>1.9</v>
      </c>
    </row>
    <row r="16" spans="1:5" ht="15.75" thickBot="1" x14ac:dyDescent="0.3">
      <c r="A16" s="1" t="s">
        <v>14</v>
      </c>
      <c r="B16" s="10">
        <v>0.65</v>
      </c>
      <c r="C16" s="10">
        <v>0.65</v>
      </c>
      <c r="D16" s="10">
        <v>0.65</v>
      </c>
      <c r="E16" s="10">
        <v>0.65</v>
      </c>
    </row>
    <row r="17" spans="1:5" ht="15.75" thickBot="1" x14ac:dyDescent="0.3">
      <c r="A17" s="1" t="s">
        <v>15</v>
      </c>
      <c r="B17" s="10">
        <v>0.25</v>
      </c>
      <c r="C17" s="10">
        <v>0.25</v>
      </c>
      <c r="D17" s="10">
        <v>0.25</v>
      </c>
      <c r="E17" s="10">
        <v>0.25</v>
      </c>
    </row>
    <row r="18" spans="1:5" ht="30.75" thickBot="1" x14ac:dyDescent="0.3">
      <c r="A18" s="6" t="s">
        <v>28</v>
      </c>
      <c r="B18" s="17">
        <f t="shared" ref="B18:D18" si="3">SUM(B13:B17)</f>
        <v>6.2000000000000011</v>
      </c>
      <c r="C18" s="17">
        <f t="shared" si="3"/>
        <v>6.2000000000000011</v>
      </c>
      <c r="D18" s="17">
        <f t="shared" si="3"/>
        <v>6.2000000000000011</v>
      </c>
      <c r="E18" s="17">
        <f>SUM(E13:E17)</f>
        <v>6.2000000000000011</v>
      </c>
    </row>
    <row r="19" spans="1:5" ht="15.75" thickBot="1" x14ac:dyDescent="0.3">
      <c r="A19" s="19" t="s">
        <v>19</v>
      </c>
      <c r="B19" s="20">
        <v>0.3</v>
      </c>
      <c r="C19" s="20">
        <v>0.3</v>
      </c>
      <c r="D19" s="20">
        <v>0.3</v>
      </c>
      <c r="E19" s="20">
        <v>0.3</v>
      </c>
    </row>
    <row r="20" spans="1:5" ht="15.75" thickBot="1" x14ac:dyDescent="0.3">
      <c r="A20" s="21" t="s">
        <v>20</v>
      </c>
      <c r="B20" s="22">
        <f t="shared" ref="B20:D20" si="4">B4+B5+B10+B11</f>
        <v>17.13</v>
      </c>
      <c r="C20" s="22">
        <f t="shared" si="4"/>
        <v>56</v>
      </c>
      <c r="D20" s="22">
        <f t="shared" si="4"/>
        <v>20.96</v>
      </c>
      <c r="E20" s="23">
        <f>E4+E5+E10+E11</f>
        <v>11.100000000000001</v>
      </c>
    </row>
    <row r="21" spans="1:5" ht="15.75" thickBot="1" x14ac:dyDescent="0.3">
      <c r="A21" s="24" t="s">
        <v>21</v>
      </c>
      <c r="B21" s="14">
        <f t="shared" ref="B21:D21" si="5">B9</f>
        <v>25</v>
      </c>
      <c r="C21" s="14">
        <f t="shared" si="5"/>
        <v>20</v>
      </c>
      <c r="D21" s="14">
        <f t="shared" si="5"/>
        <v>30</v>
      </c>
      <c r="E21" s="25">
        <f>E9</f>
        <v>20</v>
      </c>
    </row>
    <row r="22" spans="1:5" ht="15.75" thickBot="1" x14ac:dyDescent="0.3">
      <c r="A22" s="26" t="s">
        <v>22</v>
      </c>
      <c r="B22" s="10">
        <f t="shared" ref="B22:D22" si="6">B2+B3+B18</f>
        <v>12.238000000000001</v>
      </c>
      <c r="C22" s="10">
        <f t="shared" si="6"/>
        <v>12.238000000000001</v>
      </c>
      <c r="D22" s="10">
        <f t="shared" si="6"/>
        <v>12.238000000000001</v>
      </c>
      <c r="E22" s="27">
        <f>E2+E3+E18</f>
        <v>12.238000000000001</v>
      </c>
    </row>
    <row r="23" spans="1:5" ht="15.75" thickBot="1" x14ac:dyDescent="0.3">
      <c r="A23" s="28" t="s">
        <v>23</v>
      </c>
      <c r="B23" s="29">
        <f t="shared" ref="B23:D23" si="7">B19</f>
        <v>0.3</v>
      </c>
      <c r="C23" s="29">
        <f t="shared" si="7"/>
        <v>0.3</v>
      </c>
      <c r="D23" s="29">
        <f t="shared" si="7"/>
        <v>0.3</v>
      </c>
      <c r="E23" s="29">
        <f>E19</f>
        <v>0.3</v>
      </c>
    </row>
    <row r="24" spans="1:5" ht="15.75" thickBot="1" x14ac:dyDescent="0.3">
      <c r="A24" s="34" t="s">
        <v>17</v>
      </c>
      <c r="B24" s="30">
        <f t="shared" ref="B24:D24" si="8">B20+B22</f>
        <v>29.368000000000002</v>
      </c>
      <c r="C24" s="30">
        <f t="shared" si="8"/>
        <v>68.238</v>
      </c>
      <c r="D24" s="30">
        <f t="shared" si="8"/>
        <v>33.198</v>
      </c>
      <c r="E24" s="31">
        <f>E20+E22</f>
        <v>23.338000000000001</v>
      </c>
    </row>
    <row r="25" spans="1:5" ht="15.75" thickBot="1" x14ac:dyDescent="0.3">
      <c r="A25" s="35" t="s">
        <v>18</v>
      </c>
      <c r="B25" s="32">
        <f t="shared" ref="B25:D25" si="9">B21+B23</f>
        <v>25.3</v>
      </c>
      <c r="C25" s="32">
        <f t="shared" si="9"/>
        <v>20.3</v>
      </c>
      <c r="D25" s="32">
        <f t="shared" si="9"/>
        <v>30.3</v>
      </c>
      <c r="E25" s="33">
        <f>E21+E23</f>
        <v>20.3</v>
      </c>
    </row>
    <row r="26" spans="1:5" ht="15.75" thickBot="1" x14ac:dyDescent="0.3">
      <c r="A26" s="36" t="s">
        <v>24</v>
      </c>
      <c r="B26" s="18">
        <f t="shared" ref="B26:D26" si="10">B24+B25</f>
        <v>54.668000000000006</v>
      </c>
      <c r="C26" s="18">
        <f t="shared" si="10"/>
        <v>88.537999999999997</v>
      </c>
      <c r="D26" s="18">
        <f t="shared" si="10"/>
        <v>63.498000000000005</v>
      </c>
      <c r="E26" s="18">
        <f>E24+E25</f>
        <v>43.638000000000005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Aubry</dc:creator>
  <cp:lastModifiedBy>Raphaël Aubry</cp:lastModifiedBy>
  <dcterms:created xsi:type="dcterms:W3CDTF">2025-08-22T08:45:55Z</dcterms:created>
  <dcterms:modified xsi:type="dcterms:W3CDTF">2025-08-24T21:33:38Z</dcterms:modified>
</cp:coreProperties>
</file>